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<sst xmlns="http://schemas.openxmlformats.org/spreadsheetml/2006/main" count="55" uniqueCount="25">
  <si>
    <t>Dataset</t>
  </si>
  <si>
    <t>Metric</t>
  </si>
  <si>
    <t>scRGCL</t>
  </si>
  <si>
    <t>scCCL</t>
  </si>
  <si>
    <t>scLEGA</t>
  </si>
  <si>
    <t>scSAMAC</t>
  </si>
  <si>
    <t>scAttentionAE</t>
  </si>
  <si>
    <t>0 Quake_10x_Bladder
2500</t>
  </si>
  <si>
    <t>ARI</t>
  </si>
  <si>
    <t>NMI</t>
  </si>
  <si>
    <t>1 Quake_10x_Limb_Muscle
3909</t>
  </si>
  <si>
    <t>2 Quake_10x_Spleen
9552</t>
  </si>
  <si>
    <t>3 Quake_Smart-seq2_Diaphragm
870</t>
  </si>
  <si>
    <t>4 Quake_Smart-seq2_Limb_Muscle
1090</t>
  </si>
  <si>
    <t>5 Romanov
2881</t>
  </si>
  <si>
    <t>6 Muraro
2122</t>
  </si>
  <si>
    <t>7 Klein
2717</t>
  </si>
  <si>
    <t>8 Quake_Smart-seq2_Trachea
1350</t>
  </si>
  <si>
    <t>9 Pollen
301</t>
  </si>
  <si>
    <t>10 Chung
527</t>
  </si>
  <si>
    <t>11 Baron1
1937</t>
  </si>
  <si>
    <t>12 Baron2
1724</t>
  </si>
  <si>
    <t>13 Baron3
3605</t>
  </si>
  <si>
    <t>14 Baron4
1303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</si>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</sst>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00B0F0"/>
      <name val="Times New Roman"/>
      <charset val="134"/>
    </font>
    <font>
      <sz val="12"/>
      <color theme="1"/>
      <name val="宋体-简"/>
      <charset val="134"/>
    </font>
    <font>
      <b/>
      <sz val="12"/>
      <color theme="1"/>
      <name val="Times New Roman Bold"/>
      <charset val="134"/>
    </font>
    <font>
      <b/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b/>
      <sz val="12"/>
      <color rgb="FF00B0F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J33"/>
  <sheetViews>
    <sheetView tabSelected="1" workbookViewId="0">
      <selection activeCell="J17" sqref="J17"/>
    </sheetView>
  </sheetViews>
  <sheetFormatPr defaultColWidth="9.23076923076923" defaultRowHeight="16.8" outlineLevelCol="6"/>
  <sheetData>
    <row r="1" ht="17.6" spans="1:1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inlineStr">
        <is>
          <t>PCA+Leiden</t>
        </is>
      </c>
      <c r="I1" s="1" t="inlineStr">
        <is>
          <t>PCA+Louvain</t>
        </is>
      </c>
      <c r="J1" s="1" t="inlineStr">
        <is>
          <t>PCA+KMeans</t>
        </is>
      </c>
    </row>
    <row r="2" ht="17.6" spans="1:10">
      <c r="A2" s="3" t="s">
        <v>7</v>
      </c>
      <c r="B2" s="1" t="s">
        <v>8</v>
      </c>
      <c r="C2" s="4">
        <v>98.81</v>
      </c>
      <c r="D2" s="1">
        <v>75.52</v>
      </c>
      <c r="E2" s="1">
        <v>50.95</v>
      </c>
      <c r="F2" s="1">
        <v>61.98</v>
      </c>
      <c r="G2" s="1">
        <v>76.76</v>
      </c>
      <c r="H2" s="1">
        <v>18.47</v>
      </c>
      <c r="I2" s="1">
        <v>21.06</v>
      </c>
      <c r="J2" s="1">
        <v>97.53</v>
      </c>
    </row>
    <row r="3" ht="17.6" spans="1:10">
      <c r="A3" s="5"/>
      <c r="B3" s="1" t="s">
        <v>9</v>
      </c>
      <c r="C3" s="6">
        <v>95.79</v>
      </c>
      <c r="D3" s="1">
        <v>80.71</v>
      </c>
      <c r="E3" s="1">
        <v>69.14</v>
      </c>
      <c r="F3" s="1">
        <v>73.79</v>
      </c>
      <c r="G3" s="1">
        <v>82.02</v>
      </c>
      <c r="H3" s="1">
        <v>50.5</v>
      </c>
      <c r="I3" s="1">
        <v>52.72</v>
      </c>
      <c r="J3" s="1">
        <v>94.65</v>
      </c>
    </row>
    <row r="4" ht="17.6" spans="1:10">
      <c r="A4" s="3" t="s">
        <v>10</v>
      </c>
      <c r="B4" s="1" t="s">
        <v>8</v>
      </c>
      <c r="C4" s="1">
        <v>99.17</v>
      </c>
      <c r="D4" s="4">
        <v>99.43</v>
      </c>
      <c r="E4" s="1">
        <v>97.63</v>
      </c>
      <c r="F4" s="1">
        <v>86.27</v>
      </c>
      <c r="G4" s="1">
        <v>97.67</v>
      </c>
      <c r="H4" s="1">
        <v>42.28</v>
      </c>
      <c r="I4" s="1">
        <v>44.8</v>
      </c>
      <c r="J4" s="1">
        <v>97.93</v>
      </c>
    </row>
    <row r="5" ht="17.6" spans="1:10">
      <c r="A5" s="5"/>
      <c r="B5" s="1" t="s">
        <v>9</v>
      </c>
      <c r="C5" s="1">
        <v>98.31</v>
      </c>
      <c r="D5" s="6">
        <v>98.85</v>
      </c>
      <c r="E5" s="1">
        <v>95.03</v>
      </c>
      <c r="F5" s="1">
        <v>91.41</v>
      </c>
      <c r="G5" s="1">
        <v>94.82</v>
      </c>
      <c r="H5" s="1">
        <v>73.13</v>
      </c>
      <c r="I5" s="1">
        <v>75.51</v>
      </c>
      <c r="J5" s="1">
        <v>95.8</v>
      </c>
    </row>
    <row r="6" ht="17.6" spans="1:10">
      <c r="A6" s="3" t="s">
        <v>11</v>
      </c>
      <c r="B6" s="1" t="s">
        <v>8</v>
      </c>
      <c r="C6" s="1">
        <v>89.77</v>
      </c>
      <c r="D6" s="4">
        <v>90.02</v>
      </c>
      <c r="E6" s="1">
        <v>82.51</v>
      </c>
      <c r="F6" s="1">
        <v>0</v>
      </c>
      <c r="G6" s="7">
        <v>73.97</v>
      </c>
      <c r="H6" s="1">
        <v>15.3</v>
      </c>
      <c r="I6" s="1">
        <v>15.96</v>
      </c>
      <c r="J6" s="1">
        <v>93.74</v>
      </c>
    </row>
    <row r="7" ht="17.6" spans="1:10">
      <c r="A7" s="5"/>
      <c r="B7" s="1" t="s">
        <v>9</v>
      </c>
      <c r="C7" s="1">
        <v>78.8</v>
      </c>
      <c r="D7" s="6">
        <v>79.33</v>
      </c>
      <c r="E7" s="1">
        <v>77.17</v>
      </c>
      <c r="F7" s="1">
        <v>0</v>
      </c>
      <c r="G7" s="7">
        <v>71.16</v>
      </c>
      <c r="H7" s="1">
        <v>44.82</v>
      </c>
      <c r="I7" s="1">
        <v>45.97</v>
      </c>
      <c r="J7" s="1">
        <v>86.92</v>
      </c>
    </row>
    <row r="8" ht="17.6" spans="1:10">
      <c r="A8" s="3" t="s">
        <v>12</v>
      </c>
      <c r="B8" s="1" t="s">
        <v>8</v>
      </c>
      <c r="C8" s="1">
        <v>97.42</v>
      </c>
      <c r="D8" s="4">
        <v>98.29</v>
      </c>
      <c r="E8" s="1">
        <v>97.04</v>
      </c>
      <c r="F8" s="1">
        <v>44.27</v>
      </c>
      <c r="G8" s="1">
        <v>91.45</v>
      </c>
      <c r="H8" s="1">
        <v>45.23</v>
      </c>
      <c r="I8" s="1">
        <v>56.06</v>
      </c>
      <c r="J8" s="1">
        <v>97.24</v>
      </c>
    </row>
    <row r="9" ht="17.6" spans="1:10">
      <c r="A9" s="5"/>
      <c r="B9" s="1" t="s">
        <v>9</v>
      </c>
      <c r="C9" s="1">
        <v>94.91</v>
      </c>
      <c r="D9" s="6">
        <v>96.11</v>
      </c>
      <c r="E9" s="1">
        <v>93.55</v>
      </c>
      <c r="F9" s="1">
        <v>55.59</v>
      </c>
      <c r="G9" s="1">
        <v>89.18</v>
      </c>
      <c r="H9" s="1">
        <v>72.86</v>
      </c>
      <c r="I9" s="1">
        <v>76.87</v>
      </c>
      <c r="J9" s="1">
        <v>95.9</v>
      </c>
    </row>
    <row r="10" ht="17.6" spans="1:10">
      <c r="A10" s="3" t="s">
        <v>13</v>
      </c>
      <c r="B10" s="1" t="s">
        <v>8</v>
      </c>
      <c r="C10" s="8">
        <v>93.11</v>
      </c>
      <c r="D10" s="4">
        <v>97.82</v>
      </c>
      <c r="E10" s="1">
        <v>95.32</v>
      </c>
      <c r="F10" s="1">
        <v>72.19</v>
      </c>
      <c r="G10" s="1">
        <v>79.16</v>
      </c>
      <c r="H10" s="1">
        <v>44.08</v>
      </c>
      <c r="I10" s="1">
        <v>50.74</v>
      </c>
      <c r="J10" s="1">
        <v>96.84</v>
      </c>
    </row>
    <row r="11" ht="17.6" spans="1:10">
      <c r="A11" s="5"/>
      <c r="B11" s="1" t="s">
        <v>9</v>
      </c>
      <c r="C11" s="8">
        <v>86.11</v>
      </c>
      <c r="D11" s="6">
        <v>95.74</v>
      </c>
      <c r="E11" s="1">
        <v>90.84</v>
      </c>
      <c r="F11" s="1">
        <v>61.24</v>
      </c>
      <c r="G11" s="1">
        <v>84.18</v>
      </c>
      <c r="H11" s="1">
        <v>74.51</v>
      </c>
      <c r="I11" s="1">
        <v>76.6</v>
      </c>
      <c r="J11" s="1">
        <v>95.36</v>
      </c>
    </row>
    <row r="12" ht="17.6" spans="1:10">
      <c r="A12" s="3" t="s">
        <v>14</v>
      </c>
      <c r="B12" s="1" t="s">
        <v>8</v>
      </c>
      <c r="C12" s="4">
        <v>78.3</v>
      </c>
      <c r="D12" s="1">
        <v>75.54</v>
      </c>
      <c r="E12" s="1">
        <v>58.5</v>
      </c>
      <c r="F12" s="1">
        <v>59.99</v>
      </c>
      <c r="G12" s="1">
        <v>77.58</v>
      </c>
      <c r="H12" s="1">
        <v>31.81</v>
      </c>
      <c r="I12" s="1">
        <v>41.54</v>
      </c>
      <c r="J12" s="1">
        <v>74.69</v>
      </c>
    </row>
    <row r="13" ht="17.6" spans="1:10">
      <c r="A13" s="5"/>
      <c r="B13" s="1" t="s">
        <v>9</v>
      </c>
      <c r="C13" s="1">
        <v>70.48</v>
      </c>
      <c r="D13" s="1">
        <v>68.6</v>
      </c>
      <c r="E13" s="1">
        <v>65.72</v>
      </c>
      <c r="F13" s="1">
        <v>68.08</v>
      </c>
      <c r="G13" s="6">
        <v>71.94</v>
      </c>
      <c r="H13" s="1">
        <v>59.1</v>
      </c>
      <c r="I13" s="1">
        <v>61.56</v>
      </c>
      <c r="J13" s="1">
        <v>70.63</v>
      </c>
    </row>
    <row r="14" ht="17.6" spans="1:10">
      <c r="A14" s="3" t="s">
        <v>15</v>
      </c>
      <c r="B14" s="1" t="s">
        <v>8</v>
      </c>
      <c r="C14" s="1">
        <v>90.47</v>
      </c>
      <c r="D14" s="1">
        <v>91.94</v>
      </c>
      <c r="E14" s="1">
        <v>93.51</v>
      </c>
      <c r="F14" s="1">
        <v>83.75</v>
      </c>
      <c r="G14" s="4">
        <v>92.35</v>
      </c>
      <c r="H14" s="1">
        <v>43.16</v>
      </c>
      <c r="I14" s="1">
        <v>44.89</v>
      </c>
      <c r="J14" s="1">
        <v>90.58</v>
      </c>
    </row>
    <row r="15" ht="17.6" spans="1:10">
      <c r="A15" s="5"/>
      <c r="B15" s="1" t="s">
        <v>9</v>
      </c>
      <c r="C15" s="1">
        <v>84.21</v>
      </c>
      <c r="D15" s="1">
        <v>87.05</v>
      </c>
      <c r="E15" s="1">
        <v>89.71</v>
      </c>
      <c r="F15" s="1">
        <v>80.51</v>
      </c>
      <c r="G15" s="6">
        <v>88.31</v>
      </c>
      <c r="H15" s="1">
        <v>72.36</v>
      </c>
      <c r="I15" s="1">
        <v>73.13</v>
      </c>
      <c r="J15" s="1">
        <v>86.16</v>
      </c>
    </row>
    <row r="16" ht="17.6" spans="1:10">
      <c r="A16" s="3" t="s">
        <v>16</v>
      </c>
      <c r="B16" s="1" t="s">
        <v>8</v>
      </c>
      <c r="C16" s="4">
        <v>88.4</v>
      </c>
      <c r="D16" s="1">
        <v>78.38</v>
      </c>
      <c r="E16" s="1">
        <v>75.58</v>
      </c>
      <c r="F16" s="1">
        <v>86.54</v>
      </c>
      <c r="G16" s="1">
        <v>73.4</v>
      </c>
      <c r="H16" s="1">
        <v>77.8</v>
      </c>
      <c r="I16" s="1">
        <v>79.11</v>
      </c>
      <c r="J16" s="1">
        <v>80.68</v>
      </c>
    </row>
    <row r="17" ht="17.6" spans="1:10">
      <c r="A17" s="5"/>
      <c r="B17" s="1" t="s">
        <v>9</v>
      </c>
      <c r="C17" s="6">
        <v>84.69</v>
      </c>
      <c r="D17" s="1">
        <v>78.04</v>
      </c>
      <c r="E17" s="1">
        <v>76.18</v>
      </c>
      <c r="F17" s="1">
        <v>89.93</v>
      </c>
      <c r="G17" s="1">
        <v>74.51</v>
      </c>
      <c r="H17" s="1">
        <v>78.16</v>
      </c>
      <c r="I17" s="1">
        <v>79.76</v>
      </c>
      <c r="J17" s="1">
        <v>80.56</v>
      </c>
    </row>
    <row r="18" ht="17.6" spans="1:10">
      <c r="A18" s="3" t="s">
        <v>17</v>
      </c>
      <c r="B18" s="1" t="s">
        <v>8</v>
      </c>
      <c r="C18" s="4">
        <v>94.01</v>
      </c>
      <c r="D18" s="1">
        <v>60.06</v>
      </c>
      <c r="E18" s="1">
        <v>61.02</v>
      </c>
      <c r="F18" s="1">
        <v>71.89</v>
      </c>
      <c r="G18" s="1">
        <v>63.42</v>
      </c>
      <c r="H18" s="1">
        <v>16.06</v>
      </c>
      <c r="I18" s="1">
        <v>17.28</v>
      </c>
      <c r="J18" s="1">
        <v>60.29</v>
      </c>
    </row>
    <row r="19" ht="17.6" spans="1:10">
      <c r="A19" s="5"/>
      <c r="B19" s="1" t="s">
        <v>9</v>
      </c>
      <c r="C19" s="6">
        <v>90.97</v>
      </c>
      <c r="D19" s="1">
        <v>68.93</v>
      </c>
      <c r="E19" s="1">
        <v>73.25</v>
      </c>
      <c r="F19" s="1">
        <v>52.37</v>
      </c>
      <c r="G19" s="1">
        <v>72.24</v>
      </c>
      <c r="H19" s="1">
        <v>52.46</v>
      </c>
      <c r="I19" s="1">
        <v>54.5</v>
      </c>
      <c r="J19" s="1">
        <v>70.16</v>
      </c>
    </row>
    <row r="20" ht="17.6" spans="1:10">
      <c r="A20" s="3" t="s">
        <v>18</v>
      </c>
      <c r="B20" s="1" t="s">
        <v>8</v>
      </c>
      <c r="C20" s="4">
        <v>93.79</v>
      </c>
      <c r="D20" s="1">
        <v>75.3</v>
      </c>
      <c r="E20" s="1">
        <v>55.66</v>
      </c>
      <c r="F20" s="1">
        <v>25.36</v>
      </c>
      <c r="G20" s="1">
        <v>53.38</v>
      </c>
      <c r="H20" s="1">
        <v>44.19</v>
      </c>
      <c r="I20" s="1">
        <v>54.39</v>
      </c>
      <c r="J20" s="1">
        <v>62.52</v>
      </c>
    </row>
    <row r="21" ht="17.6" spans="1:10">
      <c r="A21" s="5"/>
      <c r="B21" s="1" t="s">
        <v>9</v>
      </c>
      <c r="C21" s="6">
        <v>91.81</v>
      </c>
      <c r="D21" s="1">
        <v>83.89</v>
      </c>
      <c r="E21" s="1">
        <v>77.24</v>
      </c>
      <c r="F21" s="1">
        <v>36.35</v>
      </c>
      <c r="G21" s="1">
        <v>76.31</v>
      </c>
      <c r="H21" s="1">
        <v>71.47</v>
      </c>
      <c r="I21" s="1">
        <v>75.52</v>
      </c>
      <c r="J21" s="1">
        <v>70.42</v>
      </c>
    </row>
    <row r="22" ht="17.6" spans="1:10">
      <c r="A22" s="3" t="s">
        <v>19</v>
      </c>
      <c r="B22" s="1" t="s">
        <v>8</v>
      </c>
      <c r="C22" s="4">
        <v>62.85</v>
      </c>
      <c r="D22" s="1">
        <v>22.05</v>
      </c>
      <c r="E22" s="1">
        <v>41.17</v>
      </c>
      <c r="F22" s="1">
        <v>14.72</v>
      </c>
      <c r="G22" s="1">
        <v>17.71</v>
      </c>
      <c r="H22" s="1">
        <v>18.46</v>
      </c>
      <c r="I22" s="1">
        <v>17.48</v>
      </c>
      <c r="J22" s="1">
        <v>46.67</v>
      </c>
    </row>
    <row r="23" ht="17.6" spans="1:10">
      <c r="A23" s="5"/>
      <c r="B23" s="1" t="s">
        <v>9</v>
      </c>
      <c r="C23" s="6">
        <v>45.3</v>
      </c>
      <c r="D23" s="1">
        <v>15.5</v>
      </c>
      <c r="E23" s="1">
        <v>48.74</v>
      </c>
      <c r="F23" s="1">
        <v>16.42</v>
      </c>
      <c r="G23" s="1">
        <v>37.19</v>
      </c>
      <c r="H23" s="1">
        <v>48.91</v>
      </c>
      <c r="I23" s="1">
        <v>45.14</v>
      </c>
      <c r="J23" s="1">
        <v>51.6</v>
      </c>
    </row>
    <row r="24" ht="17.6" spans="1:10">
      <c r="A24" s="3" t="s">
        <v>20</v>
      </c>
      <c r="B24" s="1" t="s">
        <v>8</v>
      </c>
      <c r="C24" s="1">
        <v>87.98</v>
      </c>
      <c r="D24" s="4">
        <v>92.87</v>
      </c>
      <c r="E24" s="1">
        <v>92.46</v>
      </c>
      <c r="F24" s="1">
        <v>73.52</v>
      </c>
      <c r="G24" s="1">
        <v>68.95</v>
      </c>
      <c r="H24" s="1">
        <v>47.16</v>
      </c>
      <c r="I24" s="1">
        <v>66.04</v>
      </c>
      <c r="J24" s="1">
        <v>92.5</v>
      </c>
    </row>
    <row r="25" ht="17.6" spans="1:10">
      <c r="A25" s="5"/>
      <c r="B25" s="1" t="s">
        <v>9</v>
      </c>
      <c r="C25" s="1">
        <v>79.47</v>
      </c>
      <c r="D25" s="1">
        <v>84.77</v>
      </c>
      <c r="E25" s="6">
        <v>89.21</v>
      </c>
      <c r="F25" s="1">
        <v>78.84</v>
      </c>
      <c r="G25" s="1">
        <v>79.52</v>
      </c>
      <c r="H25" s="1">
        <v>79.63</v>
      </c>
      <c r="I25" s="1">
        <v>84.16</v>
      </c>
      <c r="J25" s="1">
        <v>88.21</v>
      </c>
    </row>
    <row r="26" ht="17.6" spans="1:10">
      <c r="A26" s="3" t="s">
        <v>21</v>
      </c>
      <c r="B26" s="1" t="s">
        <v>8</v>
      </c>
      <c r="C26" s="4">
        <v>90.58</v>
      </c>
      <c r="D26" s="1">
        <v>89.69</v>
      </c>
      <c r="E26" s="1">
        <v>12.14</v>
      </c>
      <c r="F26" s="1">
        <v>89.84</v>
      </c>
      <c r="G26" s="1">
        <v>85.57</v>
      </c>
      <c r="H26" s="1">
        <v>53.52</v>
      </c>
      <c r="I26" s="1">
        <v>58.42</v>
      </c>
      <c r="J26" s="1">
        <v>91</v>
      </c>
    </row>
    <row r="27" ht="17.6" spans="1:10">
      <c r="A27" s="5"/>
      <c r="B27" s="1" t="s">
        <v>9</v>
      </c>
      <c r="C27" s="1">
        <v>85.01</v>
      </c>
      <c r="D27" s="6">
        <v>87.11</v>
      </c>
      <c r="E27" s="1">
        <v>35.84</v>
      </c>
      <c r="F27" s="1">
        <v>82.69</v>
      </c>
      <c r="G27" s="1">
        <v>80.22</v>
      </c>
      <c r="H27" s="1">
        <v>78.64</v>
      </c>
      <c r="I27" s="1">
        <v>80.64</v>
      </c>
      <c r="J27" s="1">
        <v>89.58</v>
      </c>
    </row>
    <row r="28" ht="17.6" spans="1:10">
      <c r="A28" s="3" t="s">
        <v>22</v>
      </c>
      <c r="B28" s="1" t="s">
        <v>8</v>
      </c>
      <c r="C28" s="1">
        <v>88.76</v>
      </c>
      <c r="D28" s="1">
        <v>86.88</v>
      </c>
      <c r="E28" s="1">
        <v>85.18</v>
      </c>
      <c r="F28" s="4">
        <v>91.2</v>
      </c>
      <c r="G28" s="1">
        <v>88.8</v>
      </c>
      <c r="H28" s="1">
        <v>50.86</v>
      </c>
      <c r="I28" s="1">
        <v>57.29</v>
      </c>
      <c r="J28" s="1">
        <v>87.36</v>
      </c>
    </row>
    <row r="29" ht="17.6" spans="1:10">
      <c r="A29" s="5"/>
      <c r="B29" s="1" t="s">
        <v>9</v>
      </c>
      <c r="C29" s="1">
        <v>85.04</v>
      </c>
      <c r="D29" s="1">
        <v>84.11</v>
      </c>
      <c r="E29" s="1">
        <v>86.06</v>
      </c>
      <c r="F29" s="6">
        <v>86.35</v>
      </c>
      <c r="G29" s="1">
        <v>86.35</v>
      </c>
      <c r="H29" s="1">
        <v>77.22</v>
      </c>
      <c r="I29" s="1">
        <v>78.84</v>
      </c>
      <c r="J29" s="1">
        <v>85.07</v>
      </c>
    </row>
    <row r="30" ht="17.6" spans="1:10">
      <c r="A30" s="3" t="s">
        <v>23</v>
      </c>
      <c r="B30" s="1" t="s">
        <v>8</v>
      </c>
      <c r="C30" s="1">
        <v>86.79</v>
      </c>
      <c r="D30" s="1">
        <v>81.4</v>
      </c>
      <c r="E30" s="4">
        <v>87.2</v>
      </c>
      <c r="F30" s="1">
        <v>85.44</v>
      </c>
      <c r="G30" s="1">
        <v>85.3</v>
      </c>
      <c r="H30" s="1">
        <v>58.89</v>
      </c>
      <c r="I30" s="1">
        <v>70.35</v>
      </c>
      <c r="J30" s="1">
        <v>86.95</v>
      </c>
    </row>
    <row r="31" ht="17.6" spans="1:10">
      <c r="A31" s="5"/>
      <c r="B31" s="1" t="s">
        <v>9</v>
      </c>
      <c r="C31" s="1">
        <v>80.25</v>
      </c>
      <c r="D31" s="1">
        <v>82.54</v>
      </c>
      <c r="E31" s="6">
        <v>86.82</v>
      </c>
      <c r="F31" s="1">
        <v>82.45</v>
      </c>
      <c r="G31" s="1">
        <v>86.76</v>
      </c>
      <c r="H31" s="1">
        <v>79.99</v>
      </c>
      <c r="I31" s="1">
        <v>83.37</v>
      </c>
      <c r="J31" s="1">
        <v>86.08</v>
      </c>
    </row>
    <row r="32" ht="17.6" spans="1:10">
      <c r="A32" s="9" t="s">
        <v>24</v>
      </c>
      <c r="B32" s="10" t="s">
        <v>8</v>
      </c>
      <c r="C32" s="11">
        <f t="shared" ref="C32:G32" si="0">ROUND(AVERAGE(C2,C4,C6,C8,C10,C12,C14,C16,C18,C20,C22,C24,C26,C28,C30),2)</f>
        <v>89.35</v>
      </c>
      <c r="D32" s="10">
        <f t="shared" si="0"/>
        <v>81.01</v>
      </c>
      <c r="E32" s="10">
        <f t="shared" si="0"/>
        <v>72.39</v>
      </c>
      <c r="F32" s="11">
        <f>ROUND(AVERAGE(F2,F4,F8,F10,F12,F14,F16,F18,F20,F22,F24,F26,F28,F30),2)</f>
        <v>67.64</v>
      </c>
      <c r="G32" s="10">
        <f t="shared" si="0"/>
        <v>75.03</v>
      </c>
      <c r="H32" s="10">
        <f>ROUND(AVERAGE(H2,H4,H6,H8,H10,H12,H14,H16,H18,H20,H22,H24,H26,H28,H30),2)</f>
        <v>40.48</v>
      </c>
      <c r="I32" s="10">
        <f>ROUND(AVERAGE(I2,I4,I6,I8,I10,I12,I14,I16,I18,I20,I22,I24,I26,I28,I30),2)</f>
        <v>46.36</v>
      </c>
      <c r="J32" s="10">
        <f>ROUND(AVERAGE(J2,J4,J6,J8,J10,J12,J14,J16,J18,J20,J22,J24,J26,J28,J30),2)</f>
        <v>83.77</v>
      </c>
    </row>
    <row r="33" ht="17.6" spans="1:10">
      <c r="A33" s="12"/>
      <c r="B33" s="10" t="s">
        <v>9</v>
      </c>
      <c r="C33" s="13">
        <f t="shared" ref="C33:G33" si="1">ROUND(AVERAGE(C3,C5,C7,C9,C11,C13,C15,C17,C19,C21,C23,C25,C27,C29,C31),2)</f>
        <v>83.41</v>
      </c>
      <c r="D33" s="10">
        <f t="shared" si="1"/>
        <v>79.42</v>
      </c>
      <c r="E33" s="10">
        <f t="shared" si="1"/>
        <v>76.97</v>
      </c>
      <c r="F33" s="13">
        <f>ROUND(AVERAGE(F3,F5,F9,F11,F13,F15,F17,F19,F21,F23,F25,F27,F29,F31),2)</f>
        <v>68.29</v>
      </c>
      <c r="G33" s="10">
        <f t="shared" si="1"/>
        <v>78.31</v>
      </c>
      <c r="H33" s="10">
        <f>ROUND(AVERAGE(H3,H5,H7,H9,H11,H13,H15,H17,H19,H21,H23,H25,H27,H29,H31),2)</f>
        <v>67.58</v>
      </c>
      <c r="I33" s="10">
        <f>ROUND(AVERAGE(I3,I5,I7,I9,I11,I13,I15,I17,I19,I21,I23,I25,I27,I29,I31),2)</f>
        <v>69.62</v>
      </c>
      <c r="J33" s="10">
        <f>ROUND(AVERAGE(J3,J5,J7,J9,J11,J13,J15,J17,J19,J21,J23,J25,J27,J29,J31),2)</f>
        <v>83.14</v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</dc:creator>
  <cp:lastModifiedBy>still young</cp:lastModifiedBy>
  <dcterms:created xsi:type="dcterms:W3CDTF">2026-05-12T21:02:53Z</dcterms:created>
  <dcterms:modified xsi:type="dcterms:W3CDTF">2026-05-12T21:03:29Z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82026F5C2481D844FD24036A4D192ECB_41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